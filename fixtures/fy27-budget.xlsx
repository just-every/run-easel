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</sheets>
</workbook>
</file>

<file path=xl/sharedStrings.xml><?xml version="1.0" encoding="utf-8"?>
<sst xmlns="http://schemas.openxmlformats.org/spreadsheetml/2006/main" count="28" uniqueCount="28">
  <si>
    <t>Harbour Analytics FY27 budget (synthetic fixture)</t>
  </si>
  <si>
    <t>Line</t>
  </si>
  <si>
    <t>Department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</si>
  <si>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</si>
  <si>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</si>
  <si>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</si>
  <si>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</si>
  <si>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</si>
  <si>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</si>
  <si>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</si>
  <si>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</si>
  <si>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</si>
  <si>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</si>
  <si>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</si>
  <si>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</si>
  <si>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Notes</t>
  </si>
  <si>
    <t>Subscription revenue</t>
  </si>
  <si>
    <t>Sales</t>
  </si>
  <si>
    <t>Hosting</t>
  </si>
  <si>
    <t>Engineering</t>
  </si>
  <si>
    <t>Software</t>
  </si>
  <si>
    <t>Rent</t>
  </si>
  <si>
    <t>Operations</t>
  </si>
  <si>
    <t>Advertising</t>
  </si>
  <si>
    <t>Marketing</t>
  </si>
  <si>
    <t>Conference sponsorship in September</t>
  </si>
  <si>
    <t>Travel</t>
  </si>
  <si>
    <t>Total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</si>
</sst>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</row>
    <row r="4">
      <c r="A4" t="s">
        <v>16</v>
      </c>
      <c r="B4" t="s">
        <v>17</v>
      </c>
      <c r="C4">
        <v>96000</v>
      </c>
      <c r="D4">
        <v>97500</v>
      </c>
      <c r="E4">
        <v>99000</v>
      </c>
      <c r="F4">
        <v>100500</v>
      </c>
      <c r="G4">
        <v>102000</v>
      </c>
      <c r="H4">
        <v>103500</v>
      </c>
      <c r="I4">
        <v>105000</v>
      </c>
      <c r="J4">
        <v>106500</v>
      </c>
      <c r="K4">
        <v>108000</v>
      </c>
      <c r="L4">
        <v>109500</v>
      </c>
      <c r="M4">
        <v>111000</v>
      </c>
      <c r="N4">
        <v>112500</v>
      </c>
    </row>
    <row r="5">
      <c r="A5" t="s">
        <v>18</v>
      </c>
      <c r="B5" t="s">
        <v>19</v>
      </c>
      <c r="C5">
        <v>15000</v>
      </c>
      <c r="D5">
        <f>C5+250</f>
        <v>15250</v>
      </c>
      <c r="E5">
        <f>D5+250</f>
        <v>15500</v>
      </c>
      <c r="F5">
        <f>E5+250</f>
        <v>15750</v>
      </c>
      <c r="G5">
        <f>F5+250</f>
        <v>16000</v>
      </c>
      <c r="H5">
        <f>G5+250</f>
        <v>16250</v>
      </c>
      <c r="I5">
        <f>H5+250</f>
        <v>16500</v>
      </c>
      <c r="J5">
        <f>I5+250</f>
        <v>16750</v>
      </c>
      <c r="K5">
        <f>J5+250</f>
        <v>17000</v>
      </c>
      <c r="L5">
        <f>K5+250</f>
        <v>17250</v>
      </c>
      <c r="M5">
        <f>L5+250</f>
        <v>17500</v>
      </c>
      <c r="N5">
        <f>M5+250</f>
        <v>17750</v>
      </c>
    </row>
    <row r="6">
      <c r="A6" t="s">
        <v>20</v>
      </c>
      <c r="B6" t="s">
        <v>19</v>
      </c>
      <c r="C6">
        <v>2400</v>
      </c>
      <c r="D6">
        <v>2400</v>
      </c>
      <c r="E6">
        <v>2400</v>
      </c>
      <c r="F6">
        <v>2400</v>
      </c>
      <c r="G6">
        <v>2400</v>
      </c>
      <c r="H6">
        <v>2400</v>
      </c>
      <c r="I6">
        <v>2400</v>
      </c>
      <c r="J6">
        <v>2400</v>
      </c>
      <c r="K6">
        <v>2400</v>
      </c>
      <c r="L6">
        <v>2400</v>
      </c>
      <c r="M6">
        <v>2400</v>
      </c>
      <c r="N6">
        <v>2400</v>
      </c>
    </row>
    <row r="7">
      <c r="A7" t="s">
        <v>21</v>
      </c>
      <c r="B7" t="s">
        <v>22</v>
      </c>
      <c r="C7">
        <v>9000</v>
      </c>
      <c r="D7">
        <v>9000</v>
      </c>
      <c r="E7">
        <v>9000</v>
      </c>
      <c r="F7">
        <v>9000</v>
      </c>
      <c r="G7">
        <v>9000</v>
      </c>
      <c r="H7">
        <v>9000</v>
      </c>
      <c r="I7">
        <v>9000</v>
      </c>
      <c r="J7">
        <v>9000</v>
      </c>
      <c r="K7">
        <v>9000</v>
      </c>
      <c r="L7">
        <v>9000</v>
      </c>
      <c r="M7">
        <v>9000</v>
      </c>
      <c r="N7">
        <v>9000</v>
      </c>
    </row>
    <row r="8">
      <c r="A8" t="s">
        <v>23</v>
      </c>
      <c r="B8" t="s">
        <v>24</v>
      </c>
      <c r="C8">
        <v>7500</v>
      </c>
      <c r="D8">
        <v>7500</v>
      </c>
      <c r="E8">
        <v>15000</v>
      </c>
      <c r="F8">
        <v>7500</v>
      </c>
      <c r="G8">
        <v>7500</v>
      </c>
      <c r="H8">
        <v>7500</v>
      </c>
      <c r="I8">
        <v>7500</v>
      </c>
      <c r="J8">
        <v>7500</v>
      </c>
      <c r="K8">
        <v>7500</v>
      </c>
      <c r="L8">
        <v>7500</v>
      </c>
      <c r="M8">
        <v>7500</v>
      </c>
      <c r="N8">
        <v>7500</v>
      </c>
      <c r="O8" t="s">
        <v>25</v>
      </c>
    </row>
    <row r="9">
      <c r="A9" t="s">
        <v>26</v>
      </c>
      <c r="B9" t="s">
        <v>17</v>
      </c>
      <c r="D9">
        <v>1200.333</v>
      </c>
      <c r="G9">
        <v>1200.333</v>
      </c>
      <c r="J9">
        <v>1200.333</v>
      </c>
      <c r="M9">
        <v>1200.333</v>
      </c>
    </row>
    <row r="10">
      <c r="A10" t="s">
        <v>27</v>
      </c>
      <c r="C10">
        <f>SUM(C4:C9)</f>
        <v>129900</v>
      </c>
      <c r="D10">
        <f>SUM(D4:D9)</f>
        <v>132850.333</v>
      </c>
      <c r="E10">
        <f>SUM(E4:E9)</f>
        <v>140900</v>
      </c>
      <c r="F10">
        <f>SUM(F4:F9)</f>
        <v>135150</v>
      </c>
      <c r="G10">
        <f>SUM(G4:G9)</f>
        <v>138100.333</v>
      </c>
      <c r="H10">
        <f>SUM(H4:H9)</f>
        <v>138650</v>
      </c>
      <c r="I10">
        <f>SUM(I4:I9)</f>
        <v>140400</v>
      </c>
      <c r="J10">
        <f>SUM(J4:J9)</f>
        <v>143350.333</v>
      </c>
      <c r="K10">
        <f>SUM(K4:K9)</f>
        <v>143900</v>
      </c>
      <c r="L10">
        <f>SUM(L4:L9)</f>
        <v>145650</v>
      </c>
      <c r="M10">
        <f>SUM(M4:M9)</f>
        <v>148600.333</v>
      </c>
      <c r="N10">
        <f>SUM(N4:N9)</f>
        <v>149150</v>
      </c>
    </row>
  </sheetData>
</worksheet>
</file>